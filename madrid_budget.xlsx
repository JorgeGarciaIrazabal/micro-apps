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curring Costs" sheetId="2" r:id="rId6"/>
    <sheet state="visible" name="One-Time &amp; Capital" sheetId="3" r:id="rId7"/>
    <sheet state="visible" name="Children (through 18)" sheetId="4" r:id="rId8"/>
    <sheet state="visible" name="Replacement Reserves" sheetId="5" r:id="rId9"/>
    <sheet state="visible" name="Notes &amp; Source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Only the GAIN portion of each withdrawal is taxed (Spanish savings bands ~19-28%), not your principal — so the real drag is far below the headline rate. 10-15% is a sensible planning range; a gestor can refine. Set 0% to ignore tax.</t>
      </text>
    </comment>
    <comment authorId="0" ref="B3">
      <text>
        <t xml:space="preserve">Mid-market EUR/USD ~1 Jul 2026. Update to current.</t>
      </text>
    </comment>
    <comment authorId="0" ref="B19">
      <text>
        <t xml:space="preserve">'4% rule' — conservative planning assumption, not a guarantee.</t>
      </text>
    </comment>
  </commentList>
</comments>
</file>

<file path=xl/sharedStrings.xml><?xml version="1.0" encoding="utf-8"?>
<sst xmlns="http://schemas.openxmlformats.org/spreadsheetml/2006/main" count="239" uniqueCount="234">
  <si>
    <t>THE BOTTOM LINE</t>
  </si>
  <si>
    <t>Family of 4 (two children) · eastern Madrid suburbs · home owned outright · no earnings · 2026 € &amp; $</t>
  </si>
  <si>
    <t>Measure</t>
  </si>
  <si>
    <t>EUR (€)</t>
  </si>
  <si>
    <t>USD ($)</t>
  </si>
  <si>
    <t>Monthly running cost</t>
  </si>
  <si>
    <t>Annual running cost</t>
  </si>
  <si>
    <t>One-time set-up (home, taxes, furniture, car, move)</t>
  </si>
  <si>
    <t>Emergency fund (6 months)</t>
  </si>
  <si>
    <t>Child-raising fund (both kids, through 18)</t>
  </si>
  <si>
    <t>Cash needed up front</t>
  </si>
  <si>
    <t>TOTAL CAPITAL to fund life with no earnings</t>
  </si>
  <si>
    <t>TOTAL CAPITAL — tax-adjusted (realistic target)</t>
  </si>
  <si>
    <t>How to read this</t>
  </si>
  <si>
    <t>• No earnings → the number that matters most is TOTAL CAPITAL: buy the home, car &amp; furnishings outright, then hold</t>
  </si>
  <si>
    <t xml:space="preserve">   enough invested that a conservative ~4%/yr draw covers living costs indefinitely.</t>
  </si>
  <si>
    <t>• Running cost = month-to-month life once settled (no mortgage). Public healthcare &amp; public daycare are free; you've</t>
  </si>
  <si>
    <t xml:space="preserve">   chosen to keep PRIVATE health insurance on top (€260/mo).</t>
  </si>
  <si>
    <t>• Husband's technology fund is set equal to the family vacation fund (€8,000/yr) for fairness — it auto-matches, so</t>
  </si>
  <si>
    <t xml:space="preserve">   if you change the vacation number the tech number follows.</t>
  </si>
  <si>
    <t>• Replacement reserves: a monthly set-aside (see the 'Replacement Reserves' tab) funds a new EV every 8 years and</t>
  </si>
  <si>
    <t xml:space="preserve">   renews appliances &amp; furniture over their lifetimes — so nothing is a nasty surprise later.</t>
  </si>
  <si>
    <t>• Two capital figures: the pre-tax 4% number, and a TAX-ADJUSTED target that grosses up withdrawals for Spanish</t>
  </si>
  <si>
    <t xml:space="preserve">   investment tax (only gains are taxed, not principal — default ~12% effective; edit it on the One-Time &amp; Capital tab).</t>
  </si>
  <si>
    <t>• Blue cells = your inputs; black cells = formulas. Everything totals automatically. Not financial advice.</t>
  </si>
  <si>
    <t>• Recommended area: Alcalá de Henares (or Rivas-Vaciamadrid / Getafe) — modern flats with parking, lift, pool &amp; green</t>
  </si>
  <si>
    <t xml:space="preserve">   areas from ~€240k, Cercanías rail into Madrid, malls &amp; services close by.</t>
  </si>
  <si>
    <t>ANNUAL LIVING BUDGET  —  Family of 4 (2 children), eastern Madrid commuter belt (Alcalá de Henares area)</t>
  </si>
  <si>
    <t>Blue = editable monthly inputs. Black = formulas. Annual = Monthly × 12. '(ann.)' = yearly cost shown per month. Private health kept; public daycare free.</t>
  </si>
  <si>
    <t>Category / Item</t>
  </si>
  <si>
    <t>Monthly (€)</t>
  </si>
  <si>
    <t>Annual (€)</t>
  </si>
  <si>
    <t>Notes / basis</t>
  </si>
  <si>
    <t>Housing (owned outright — no mortgage)</t>
  </si>
  <si>
    <t>Utilities — electricity, gas, water, waste</t>
  </si>
  <si>
    <t>Family home incl. AC + heat</t>
  </si>
  <si>
    <t>Community fees (comunidad: pool, gardens, lift)</t>
  </si>
  <si>
    <t>Gated-community flat</t>
  </si>
  <si>
    <t>Property tax (IBI) — (ann.)</t>
  </si>
  <si>
    <t>~€540/yr on a ~€265k home</t>
  </si>
  <si>
    <t>Home maintenance &amp; repairs reserve</t>
  </si>
  <si>
    <t>Ongoing upkeep set-aside</t>
  </si>
  <si>
    <t xml:space="preserve">   Housing (owned outright — no mortgage) — subtotal</t>
  </si>
  <si>
    <t>Food &amp; dining</t>
  </si>
  <si>
    <t>Groceries</t>
  </si>
  <si>
    <t>Family of 4; Mercadona/Lidl</t>
  </si>
  <si>
    <t>Dining out (2×/month, family)</t>
  </si>
  <si>
    <t>~€75 per outing</t>
  </si>
  <si>
    <t xml:space="preserve">   Food &amp; dining — subtotal</t>
  </si>
  <si>
    <t>Lifestyle &amp; personal (you)</t>
  </si>
  <si>
    <t>Entertainment — movies, books, events, friends</t>
  </si>
  <si>
    <t>Adult clothing</t>
  </si>
  <si>
    <t>Both adults</t>
  </si>
  <si>
    <t>Gym membership (couple)</t>
  </si>
  <si>
    <t>Spanish classes — until fluent (temporary)</t>
  </si>
  <si>
    <t>Drops to €0 once fluent</t>
  </si>
  <si>
    <t>Toiletries &amp; personal care (incl. makeup, pads)</t>
  </si>
  <si>
    <t>Haircuts — (ann.)</t>
  </si>
  <si>
    <t>~€300/yr</t>
  </si>
  <si>
    <t xml:space="preserve">   Lifestyle &amp; personal (you) — subtotal</t>
  </si>
  <si>
    <t>Child — Clara (age 5)</t>
  </si>
  <si>
    <t>Public school fees, books &amp; materials — (ann.)</t>
  </si>
  <si>
    <t>Tuition free; ~€400/yr extras</t>
  </si>
  <si>
    <t>School lunch (comedor)</t>
  </si>
  <si>
    <t>Free/subsidised if you qualify — could be €0</t>
  </si>
  <si>
    <t>Clothing</t>
  </si>
  <si>
    <t>Activities / extracurriculars</t>
  </si>
  <si>
    <t>Many town-run options are low-cost</t>
  </si>
  <si>
    <t>Toys</t>
  </si>
  <si>
    <t>Allowance</t>
  </si>
  <si>
    <t xml:space="preserve">   Child — Clara (age 5) — subtotal</t>
  </si>
  <si>
    <t>Child — second child (from birth)</t>
  </si>
  <si>
    <t>Daycare / guardería</t>
  </si>
  <si>
    <t>FREE — public 0–3 place (Madrid region gratuidad)</t>
  </si>
  <si>
    <t>Diapers, formula &amp; baby supplies</t>
  </si>
  <si>
    <t>Genuine cost even with free daycare</t>
  </si>
  <si>
    <t>Baby clothing &amp; gear</t>
  </si>
  <si>
    <t>Often hand-me-downs — could be less</t>
  </si>
  <si>
    <t xml:space="preserve">   Child — second child (from birth) — subtotal</t>
  </si>
  <si>
    <t>Family activities &amp; culture</t>
  </si>
  <si>
    <t>Museums, parks, shows, amusement parks</t>
  </si>
  <si>
    <t>Many Madrid museums free on set days</t>
  </si>
  <si>
    <t xml:space="preserve">   Family activities &amp; culture — subtotal</t>
  </si>
  <si>
    <t>Subscriptions &amp; connectivity</t>
  </si>
  <si>
    <t>Mobile phones (family)</t>
  </si>
  <si>
    <t>Home internet (fibre)</t>
  </si>
  <si>
    <t>Netflix</t>
  </si>
  <si>
    <t>Amazon Prime — (ann.)</t>
  </si>
  <si>
    <t>~€50/yr</t>
  </si>
  <si>
    <t xml:space="preserve">   Subscriptions &amp; connectivity — subtotal</t>
  </si>
  <si>
    <t>Insurance</t>
  </si>
  <si>
    <t>Private health — family, no-copay + dental</t>
  </si>
  <si>
    <t>2 adults + 2 children; kept on TOP of free public system</t>
  </si>
  <si>
    <t>Life insurance (both adults, term) — optional</t>
  </si>
  <si>
    <t>Optional: no mortgage/earnings to replace</t>
  </si>
  <si>
    <t>Home insurance — (ann.)</t>
  </si>
  <si>
    <t>~€350/yr</t>
  </si>
  <si>
    <t>Car insurance — (ann.)</t>
  </si>
  <si>
    <t>EV comprehensive, slightly higher — ~€780/yr</t>
  </si>
  <si>
    <t xml:space="preserve">   Insurance — subtotal</t>
  </si>
  <si>
    <t>Medical out-of-pocket</t>
  </si>
  <si>
    <t>Dental, prescriptions, minor extras</t>
  </si>
  <si>
    <t>On top of private plan / public cover</t>
  </si>
  <si>
    <t>Contact lenses — (ann.)</t>
  </si>
  <si>
    <t xml:space="preserve">   Medical out-of-pocket — subtotal</t>
  </si>
  <si>
    <t>Transport (1 electric car, owned outright)</t>
  </si>
  <si>
    <t>Home &amp; public charging</t>
  </si>
  <si>
    <t>Mostly home charging ~€0.10–0.15/kWh — far cheaper than petrol</t>
  </si>
  <si>
    <t>Maintenance, tyres &amp; ITV — (ann.)</t>
  </si>
  <si>
    <t>EV: no oil changes, fewer moving parts — ~€480/yr</t>
  </si>
  <si>
    <t>Road tax (IVTM) — (ann.)</t>
  </si>
  <si>
    <t>EV gets big IVTM reduction (often ~75% off)</t>
  </si>
  <si>
    <t>Public transport passes</t>
  </si>
  <si>
    <t>Cercanías into Madrid</t>
  </si>
  <si>
    <t xml:space="preserve">   Transport (1 electric car, owned outright) — subtotal</t>
  </si>
  <si>
    <t>Travel &amp; the matching fund</t>
  </si>
  <si>
    <t>Family vacation fund — (ann.)</t>
  </si>
  <si>
    <t>Family-of-4 Disney/US/Japan/Italy rotation — ~€4,000/yr avg (leaner in-between years)</t>
  </si>
  <si>
    <t>Husband's technology fund — matches vacation (ann.)</t>
  </si>
  <si>
    <t>Set equal to the vacation fund for fairness — €8,000/yr. Change vacation and this follows.</t>
  </si>
  <si>
    <t xml:space="preserve">   Travel &amp; the matching fund — subtotal</t>
  </si>
  <si>
    <t>Long-term replacement reserves (sinking funds)</t>
  </si>
  <si>
    <t>Car / appliances / furniture reserve — see 'Replacement Reserves' tab</t>
  </si>
  <si>
    <t>Replace the EV every 8 yrs + appliances &amp; furniture over their lifetimes</t>
  </si>
  <si>
    <t xml:space="preserve">   Long-term replacement reserves (sinking funds) — subtotal</t>
  </si>
  <si>
    <t>Professional services &amp; other</t>
  </si>
  <si>
    <t>Accountant / gestor — (ann.)</t>
  </si>
  <si>
    <t>~€480/yr — simpler with no earnings</t>
  </si>
  <si>
    <t>Miscellaneous buffer</t>
  </si>
  <si>
    <t>Real-life extras</t>
  </si>
  <si>
    <t xml:space="preserve">   Professional services &amp; other — subtotal</t>
  </si>
  <si>
    <t>TOTAL RECURRING COST</t>
  </si>
  <si>
    <t>Full year with young 2nd child + language classes</t>
  </si>
  <si>
    <t>ONE-TIME SET-UP &amp; TOTAL CAPITAL NEEDED</t>
  </si>
  <si>
    <t>EUR → USD rate (editable)</t>
  </si>
  <si>
    <t>← change to today's rate</t>
  </si>
  <si>
    <t>Item</t>
  </si>
  <si>
    <t>Cost (€)</t>
  </si>
  <si>
    <t>Cost ($)</t>
  </si>
  <si>
    <t>Notes</t>
  </si>
  <si>
    <t>Home purchase price</t>
  </si>
  <si>
    <t>Modern 3-bed/2-bath flat/ground-floor in Alcalá de Henares (or Rivas/Getafe). €250k (~$285k) buys the full spec comfortably here.</t>
  </si>
  <si>
    <t>Purchase transaction costs (8%)</t>
  </si>
  <si>
    <t>6% ITP resale transfer tax + ~2% notary/registry/legal/gestor</t>
  </si>
  <si>
    <t>Furniture, appliances &amp; kitchen kit</t>
  </si>
  <si>
    <t>Full furnish of a flat; less if kitchen/appliances included</t>
  </si>
  <si>
    <t>Car — ELECTRIC, purchased outright</t>
  </si>
  <si>
    <t>Family EV (e.g. MG4 / BYD / Megane E-Tech). Range ~€30–38k new; used EVs cheaper.</t>
  </si>
  <si>
    <t>Home charger (wallbox) + install</t>
  </si>
  <si>
    <t>One-off; €800–1,400, sometimes subsidised</t>
  </si>
  <si>
    <t>Relocation, moving &amp; admin</t>
  </si>
  <si>
    <t>No visa needed — your husband's citizenship makes residency straightforward</t>
  </si>
  <si>
    <t>Subtotal — one-time set-up</t>
  </si>
  <si>
    <t>Emergency fund (6 months of living costs)</t>
  </si>
  <si>
    <t>Cash reserve, not spent</t>
  </si>
  <si>
    <t>CASH NEEDED UP FRONT (buy everything + reserve)</t>
  </si>
  <si>
    <t>BECAUSE THERE ARE NO EARNINGS: capital to fund life from investments</t>
  </si>
  <si>
    <t>Safe withdrawal rate (editable)</t>
  </si>
  <si>
    <t>Perpetual household annual (adults, after kids grown)</t>
  </si>
  <si>
    <t>Full budget minus the kids' current costs (kids funded separately, finite)</t>
  </si>
  <si>
    <t>Investable capital (perpetual, pre-tax)</t>
  </si>
  <si>
    <t>(perpetual annual / withdrawal rate)</t>
  </si>
  <si>
    <t>Child-raising fund — both kids through 18 (finite)</t>
  </si>
  <si>
    <t>See 'Children (through 18)' tab</t>
  </si>
  <si>
    <t>TOTAL CAPITAL / NEST-EGG (pre-tax)</t>
  </si>
  <si>
    <t>Home+car+furnish + invested pot + kids' fund</t>
  </si>
  <si>
    <t>TAX-ADJUSTED TARGET (Spanish tax on investment income)</t>
  </si>
  <si>
    <t>Effective tax rate on withdrawals (editable)</t>
  </si>
  <si>
    <t>Gross withdrawal needed (pre-tax)</t>
  </si>
  <si>
    <t>So that AFTER tax you still net the perpetual household cost</t>
  </si>
  <si>
    <t>Tax-adjusted investable capital</t>
  </si>
  <si>
    <t>(gross withdrawal / safe withdrawal rate)</t>
  </si>
  <si>
    <t>TAX-ADJUSTED TOTAL NEST-EGG</t>
  </si>
  <si>
    <t>After-tax realistic target</t>
  </si>
  <si>
    <t>CHILD-RAISING FUND — COST THROUGH AGE 18</t>
  </si>
  <si>
    <t>Kids cost money for a fixed number of years, not forever — so they're funded as a finite lump, added once to the nest-egg (not multiplied by 25). Blue = editable.</t>
  </si>
  <si>
    <t>Child / phase</t>
  </si>
  <si>
    <t>Years</t>
  </si>
  <si>
    <t>Avg annual (€)</t>
  </si>
  <si>
    <t>Total (€)</t>
  </si>
  <si>
    <t>Clara (age 5 → 18)</t>
  </si>
  <si>
    <t>School lunch, clothes, activities, toys, allowance</t>
  </si>
  <si>
    <t>Second child — baby years (0–3)</t>
  </si>
  <si>
    <t>Diapers, formula, gear (public daycare free)</t>
  </si>
  <si>
    <t>Second child — ages 3–18</t>
  </si>
  <si>
    <t>Same child-level costs as Clara</t>
  </si>
  <si>
    <t>TOTAL child-raising fund (both kids)</t>
  </si>
  <si>
    <t>Added once to the nest-egg</t>
  </si>
  <si>
    <t>Excludes university (post-18). Undiscounted — inflation on child costs roughly offsets investment growth over the period.</t>
  </si>
  <si>
    <t>LONG-TERM REPLACEMENT RESERVES (SINKING FUNDS)</t>
  </si>
  <si>
    <t>Annual set-aside = (replacement cost − resale/trade-in) / lifespan. Feeds the monthly budget, so the nest-egg covers replacements forever. Blue = editable.</t>
  </si>
  <si>
    <t>Replacement cost (€)</t>
  </si>
  <si>
    <t>Resale at end (€)</t>
  </si>
  <si>
    <t>Lifespan (yrs)</t>
  </si>
  <si>
    <t>Annual set-aside (€)</t>
  </si>
  <si>
    <t>Electric car</t>
  </si>
  <si>
    <t>Replace EV every 8 yrs (battery warranty era). Resale/trade-in ~€8k; cost ties to the purchase price.</t>
  </si>
  <si>
    <t>Major appliances (fridge, washer, oven, dishwasher…)</t>
  </si>
  <si>
    <t>Replaced piecemeal over ~11 yrs on average</t>
  </si>
  <si>
    <t>Furniture (sofas, beds, dining, wardrobes)</t>
  </si>
  <si>
    <t>Refreshed over ~18 yrs — 'as reasonable'</t>
  </si>
  <si>
    <t>TOTAL replacement reserve</t>
  </si>
  <si>
    <t>Flows into the monthly budget</t>
  </si>
  <si>
    <t>ASSUMPTIONS, CHOICES &amp; CAVEATS</t>
  </si>
  <si>
    <t>NO EARNINGS — You'll fund everything from savings/investments, so the headline is the TOTAL CAPITAL figure on the</t>
  </si>
  <si>
    <t>Summary tab, not a salary. Buy the home, car and furniture outright, then keep an invested pot large enough that a</t>
  </si>
  <si>
    <t>conservative ~4% annual draw covers running costs. Withdrawals / investment income are taxable in Spain (savings tax</t>
  </si>
  <si>
    <t>~19–28% in bands), so the real pot needs to be somewhat larger than the raw 4% maths — a gestor can structure this.</t>
  </si>
  <si>
    <t>PRIVATE HEALTH INSURANCE — Kept, as you asked (€260/mo for the family, no-copay, with a dental rider). This sits on</t>
  </si>
  <si>
    <t>TOP of the free public system your family can use through your husband's citizenship — so you get public cover as a</t>
  </si>
  <si>
    <t>safety net plus private speed/choice/English-speaking doctors. Prescriptions &amp; dental extras sit in 'medical out-of-pocket'.</t>
  </si>
  <si>
    <t>HUSBAND'S TECHNOLOGY FUND = VACATION FUND — Per your note, your husband gets a technology budget equal to the</t>
  </si>
  <si>
    <t>vacation fund: €8,000/yr (≈€667/mo). In the sheet this cell is a FORMULA locked to the vacation line, so the two always</t>
  </si>
  <si>
    <t>stay equal — raise or lower vacations and the tech budget mirrors it. (It replaced the small shared tech line and the</t>
  </si>
  <si>
    <t>one-off tech set-up amount from the earlier version.)</t>
  </si>
  <si>
    <t>TWO CHILDREN, BUDGETED TO AGE 18 — Kids are costed as a FINITE fund (see the 'Children (through 18)' tab), not a forever line,</t>
  </si>
  <si>
    <t>since they cost money for a fixed number of years. Public school &amp; healthcare keep it low; university (post-18) is excluded. This</t>
  </si>
  <si>
    <t>is more accurate than my earlier versions, which treated a child's costs as lasting forever.</t>
  </si>
  <si>
    <t>THE HOME AT ~$250k (€219k) — Realistic. In Alcalá de Henares, modern-ish 3-bed/2-bath flats and ground-floor homes with</t>
  </si>
  <si>
    <t>garage, lift, AC and separate kitchen — many in gated communities with a pool and green areas — sell at €240–300k</t>
  </si>
  <si>
    <t>(incl. 2019–2020 energy-efficient builds). Trade vs €500k: a flat/ground-floor rather than a detached house, and the</t>
  </si>
  <si>
    <t>eastern commuter belt rather than the pricier north. Rivas-Vaciamadrid (Metro L9, family-focused) and Getafe are alternatives.</t>
  </si>
  <si>
    <t>ONE ELECTRIC CAR — One EV plus Cercanías passes. Higher up front (~€33k + ~€1k wallbox) but much lower to run:</t>
  </si>
  <si>
    <t>home charging (~€0.10–0.15/kWh) beats petrol, servicing is cheaper (no oil, fewer parts), and IVTM road tax is</t>
  </si>
  <si>
    <t>heavily reduced. A 0-emissions DGT label also brings easier parking in Madrid’s regulated zones and unrestricted</t>
  </si>
  <si>
    <t>access to its low-emission zone (ZBE). EV running cost ~€1,500–1,600/yr vs ~€2,000 for petrol.</t>
  </si>
  <si>
    <t>SPANISH CLASSES — Kept for you (€150/mo, temporary); zero it out once fluent and the annual total drops.</t>
  </si>
  <si>
    <t>REPLACEMENT RESERVES (SINKING FUNDS) — Rather than face big one-off hits later, you set aside a little each month:</t>
  </si>
  <si>
    <t>the EV is replaced every 8 years (assuming ~€8k trade-in, so ~€3,100/yr set aside); major appliances renew over</t>
  </si>
  <si>
    <t>~11 years (~€455/yr); furniture over ~18 years (~€780/yr). Together ~€360/mo. Because this sits inside the monthly</t>
  </si>
  <si>
    <t>budget, the total-capital figure already covers replacing these things for life. Edit the costs/lifespans on that tab.</t>
  </si>
  <si>
    <t>KEY SOURCES (2026): idealista (Alcalá de Henares / suburb prices); Numbeo, Expatistan, Wise, RentRemote (cost of</t>
  </si>
  <si>
    <t>living); healthinsuranceforspanishvisas.com &amp; Adeslas/Sanitas (private health ~€55–85/adult/mo + dental rider);</t>
  </si>
  <si>
    <t>Madrid regional education (0–3 gratuidad); car-cost guides; ECB / Bloomberg (EUR-USD ≈ 1.14).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</si>
</sst>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€#,##0;&quot;(€&quot;#,##0\);\-"/>
    <numFmt numFmtId="165" formatCode="\$#,##0;&quot;($&quot;#,##0\);\-"/>
    <numFmt numFmtId="166" formatCode="0.0000"/>
    <numFmt numFmtId="167" formatCode="0.0%"/>
  </numFmts>
  <fonts count="1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595959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b/>
      <sz val="12.0"/>
      <color rgb="FF1F3864"/>
      <name val="Arial"/>
    </font>
    <font>
      <b/>
      <sz val="11.0"/>
      <color rgb="FF1F3864"/>
      <name val="Arial"/>
    </font>
    <font>
      <b/>
      <sz val="13.0"/>
      <color rgb="FFFFFFFF"/>
      <name val="Arial"/>
    </font>
    <font>
      <b/>
      <sz val="10.0"/>
      <color rgb="FF1F3864"/>
      <name val="Arial"/>
    </font>
    <font>
      <sz val="10.0"/>
      <color rgb="FF0000FF"/>
      <name val="Arial"/>
    </font>
    <font>
      <i/>
      <sz val="9.0"/>
      <color rgb="FF595959"/>
      <name val="Arial"/>
    </font>
    <font>
      <b/>
      <sz val="10.0"/>
      <color rgb="FF000000"/>
      <name val="Arial"/>
    </font>
    <font>
      <sz val="10.0"/>
      <color rgb="FF008000"/>
      <name val="Arial"/>
    </font>
    <font>
      <b/>
      <sz val="12.0"/>
      <color rgb="FFFFFFFF"/>
      <name val="Arial"/>
    </font>
    <font>
      <i/>
      <sz val="9.0"/>
      <color rgb="FFFFFFFF"/>
      <name val="Arial"/>
    </font>
    <font>
      <b/>
      <sz val="10.0"/>
      <color rgb="FF0000FF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D6E0F0"/>
        <bgColor rgb="FFD6E0F0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164" xfId="0" applyAlignment="1" applyBorder="1" applyFont="1" applyNumberFormat="1">
      <alignment horizontal="right" shrinkToFit="0" vertical="center" wrapText="0"/>
    </xf>
    <xf borderId="4" fillId="0" fontId="6" numFmtId="165" xfId="0" applyAlignment="1" applyBorder="1" applyFont="1" applyNumberFormat="1">
      <alignment horizontal="right" shrinkToFit="0" vertical="center" wrapText="0"/>
    </xf>
    <xf borderId="4" fillId="4" fontId="7" numFmtId="0" xfId="0" applyAlignment="1" applyBorder="1" applyFill="1" applyFont="1">
      <alignment horizontal="left" shrinkToFit="0" vertical="center" wrapText="1"/>
    </xf>
    <xf borderId="4" fillId="4" fontId="7" numFmtId="164" xfId="0" applyAlignment="1" applyBorder="1" applyFont="1" applyNumberFormat="1">
      <alignment horizontal="right" shrinkToFit="0" vertical="center" wrapText="0"/>
    </xf>
    <xf borderId="4" fillId="4" fontId="7" numFmtId="165" xfId="0" applyAlignment="1" applyBorder="1" applyFont="1" applyNumberFormat="1">
      <alignment horizontal="right" shrinkToFit="0" vertical="center" wrapText="0"/>
    </xf>
    <xf borderId="4" fillId="5" fontId="7" numFmtId="0" xfId="0" applyAlignment="1" applyBorder="1" applyFill="1" applyFont="1">
      <alignment horizontal="left" shrinkToFit="0" vertical="center" wrapText="1"/>
    </xf>
    <xf borderId="4" fillId="5" fontId="7" numFmtId="164" xfId="0" applyAlignment="1" applyBorder="1" applyFont="1" applyNumberFormat="1">
      <alignment horizontal="right" shrinkToFit="0" vertical="center" wrapText="0"/>
    </xf>
    <xf borderId="4" fillId="5" fontId="7" numFmtId="165" xfId="0" applyAlignment="1" applyBorder="1" applyFont="1" applyNumberFormat="1">
      <alignment horizontal="right" shrinkToFit="0" vertical="center" wrapText="0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shrinkToFit="0" vertical="bottom" wrapText="0"/>
    </xf>
    <xf borderId="4" fillId="0" fontId="11" numFmtId="164" xfId="0" applyAlignment="1" applyBorder="1" applyFont="1" applyNumberFormat="1">
      <alignment horizontal="right" shrinkToFit="0" vertical="center" wrapText="0"/>
    </xf>
    <xf borderId="4" fillId="0" fontId="12" numFmtId="0" xfId="0" applyAlignment="1" applyBorder="1" applyFont="1">
      <alignment horizontal="left" shrinkToFit="0" vertical="center" wrapText="1"/>
    </xf>
    <xf borderId="4" fillId="6" fontId="13" numFmtId="0" xfId="0" applyAlignment="1" applyBorder="1" applyFill="1" applyFont="1">
      <alignment horizontal="left" shrinkToFit="0" vertical="center" wrapText="1"/>
    </xf>
    <xf borderId="4" fillId="6" fontId="13" numFmtId="164" xfId="0" applyAlignment="1" applyBorder="1" applyFont="1" applyNumberFormat="1">
      <alignment horizontal="right" shrinkToFit="0" vertical="center" wrapText="0"/>
    </xf>
    <xf borderId="4" fillId="6" fontId="4" numFmtId="0" xfId="0" applyAlignment="1" applyBorder="1" applyFont="1">
      <alignment shrinkToFit="0" vertical="bottom" wrapText="0"/>
    </xf>
    <xf borderId="4" fillId="0" fontId="14" numFmtId="164" xfId="0" applyAlignment="1" applyBorder="1" applyFont="1" applyNumberFormat="1">
      <alignment horizontal="right" shrinkToFit="0" vertical="center" wrapText="0"/>
    </xf>
    <xf borderId="4" fillId="2" fontId="15" numFmtId="0" xfId="0" applyAlignment="1" applyBorder="1" applyFont="1">
      <alignment horizontal="left" shrinkToFit="0" vertical="center" wrapText="1"/>
    </xf>
    <xf borderId="4" fillId="2" fontId="15" numFmtId="164" xfId="0" applyAlignment="1" applyBorder="1" applyFont="1" applyNumberFormat="1">
      <alignment horizontal="right" shrinkToFit="0" vertical="center" wrapText="0"/>
    </xf>
    <xf borderId="4" fillId="2" fontId="16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shrinkToFit="0" vertical="bottom" wrapText="0"/>
    </xf>
    <xf borderId="4" fillId="5" fontId="17" numFmtId="166" xfId="0" applyAlignment="1" applyBorder="1" applyFont="1" applyNumberFormat="1">
      <alignment horizontal="center" shrinkToFit="0" vertical="center" wrapText="1"/>
    </xf>
    <xf borderId="4" fillId="6" fontId="13" numFmtId="165" xfId="0" applyAlignment="1" applyBorder="1" applyFont="1" applyNumberFormat="1">
      <alignment horizontal="right" shrinkToFit="0" vertical="center" wrapText="0"/>
    </xf>
    <xf borderId="4" fillId="2" fontId="15" numFmtId="165" xfId="0" applyAlignment="1" applyBorder="1" applyFont="1" applyNumberFormat="1">
      <alignment horizontal="right" shrinkToFit="0" vertical="center" wrapText="0"/>
    </xf>
    <xf borderId="4" fillId="2" fontId="4" numFmtId="0" xfId="0" applyAlignment="1" applyBorder="1" applyFont="1">
      <alignment shrinkToFit="0" vertical="bottom" wrapText="0"/>
    </xf>
    <xf borderId="1" fillId="3" fontId="15" numFmtId="0" xfId="0" applyAlignment="1" applyBorder="1" applyFont="1">
      <alignment horizontal="left" shrinkToFit="0" vertical="center" wrapText="1"/>
    </xf>
    <xf borderId="4" fillId="5" fontId="17" numFmtId="167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center" wrapText="1"/>
    </xf>
    <xf borderId="4" fillId="0" fontId="11" numFmtId="1" xfId="0" applyAlignment="1" applyBorder="1" applyFont="1" applyNumberFormat="1">
      <alignment horizontal="center" shrinkToFit="0" vertical="center" wrapText="1"/>
    </xf>
    <xf borderId="4" fillId="2" fontId="18" numFmtId="0" xfId="0" applyAlignment="1" applyBorder="1" applyFont="1">
      <alignment horizontal="left" shrinkToFit="0" vertical="center" wrapText="1"/>
    </xf>
    <xf borderId="4" fillId="2" fontId="18" numFmtId="164" xfId="0" applyAlignment="1" applyBorder="1" applyFont="1" applyNumberFormat="1">
      <alignment horizontal="right" shrinkToFit="0" vertical="center" wrapText="0"/>
    </xf>
    <xf borderId="5" fillId="2" fontId="9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3" width="20.0"/>
    <col customWidth="1" min="4" max="26" width="8.71"/>
  </cols>
  <sheetData>
    <row r="1" ht="33.75" customHeight="1">
      <c r="A1" s="1" t="s">
        <v>0</v>
      </c>
      <c r="B1" s="2"/>
      <c r="C1" s="3"/>
    </row>
    <row r="2" ht="19.5" customHeight="1">
      <c r="A2" s="4" t="s">
        <v>1</v>
      </c>
    </row>
    <row r="3">
      <c r="A3" s="5"/>
      <c r="B3" s="5"/>
      <c r="C3" s="5"/>
    </row>
    <row r="4" ht="15.0" customHeight="1">
      <c r="A4" s="6" t="s">
        <v>2</v>
      </c>
      <c r="B4" s="7" t="s">
        <v>3</v>
      </c>
      <c r="C4" s="7" t="s">
        <v>4</v>
      </c>
    </row>
    <row r="5" ht="15.0" customHeight="1">
      <c r="A5" s="8" t="s">
        <v>5</v>
      </c>
      <c r="B5" s="9">
        <f>'Recurring Costs'!B85</f>
        <v>4491.770269</v>
      </c>
      <c r="C5" s="10">
        <f>B5*'One-Time &amp; Capital'!$B$3</f>
        <v>5120.618107</v>
      </c>
    </row>
    <row r="6" ht="15.0" customHeight="1">
      <c r="A6" s="8" t="s">
        <v>6</v>
      </c>
      <c r="B6" s="9">
        <f>'Recurring Costs'!C85</f>
        <v>53901.24323</v>
      </c>
      <c r="C6" s="10">
        <f>B6*'One-Time &amp; Capital'!$B$3</f>
        <v>61447.41728</v>
      </c>
    </row>
    <row r="7" ht="15.0" customHeight="1">
      <c r="A7" s="8" t="s">
        <v>7</v>
      </c>
      <c r="B7" s="9">
        <f>'One-Time &amp; Capital'!B12</f>
        <v>328500</v>
      </c>
      <c r="C7" s="10">
        <f>B7*'One-Time &amp; Capital'!$B$3</f>
        <v>374490</v>
      </c>
    </row>
    <row r="8" ht="15.0" customHeight="1">
      <c r="A8" s="8" t="s">
        <v>8</v>
      </c>
      <c r="B8" s="9">
        <f>'One-Time &amp; Capital'!B13</f>
        <v>26950.62162</v>
      </c>
      <c r="C8" s="10">
        <f>B8*'One-Time &amp; Capital'!$B$3</f>
        <v>30723.70864</v>
      </c>
    </row>
    <row r="9" ht="15.0" customHeight="1">
      <c r="A9" s="8" t="s">
        <v>9</v>
      </c>
      <c r="B9" s="9">
        <f>'One-Time &amp; Capital'!B22</f>
        <v>117000</v>
      </c>
      <c r="C9" s="10">
        <f>B9*'One-Time &amp; Capital'!$B$3</f>
        <v>133380</v>
      </c>
    </row>
    <row r="10" ht="21.75" customHeight="1">
      <c r="A10" s="11" t="s">
        <v>10</v>
      </c>
      <c r="B10" s="12">
        <f>'One-Time &amp; Capital'!B15</f>
        <v>355450.6216</v>
      </c>
      <c r="C10" s="13">
        <f>B10*'One-Time &amp; Capital'!$B$3</f>
        <v>405213.7086</v>
      </c>
    </row>
    <row r="11" ht="21.75" customHeight="1">
      <c r="A11" s="14" t="s">
        <v>11</v>
      </c>
      <c r="B11" s="15">
        <f>'One-Time &amp; Capital'!B23</f>
        <v>1643031.081</v>
      </c>
      <c r="C11" s="16">
        <f>B11*'One-Time &amp; Capital'!$B$3</f>
        <v>1873055.432</v>
      </c>
    </row>
    <row r="12" ht="21.75" customHeight="1">
      <c r="A12" s="14" t="s">
        <v>12</v>
      </c>
      <c r="B12" s="15">
        <f>'One-Time &amp; Capital'!B29</f>
        <v>1806330.774</v>
      </c>
      <c r="C12" s="16">
        <f>B12*'One-Time &amp; Capital'!$B$3</f>
        <v>2059217.082</v>
      </c>
    </row>
    <row r="13">
      <c r="A13" s="5"/>
      <c r="B13" s="5"/>
      <c r="C13" s="5"/>
    </row>
    <row r="14" ht="15.0" customHeight="1">
      <c r="A14" s="17" t="s">
        <v>13</v>
      </c>
      <c r="B14" s="5"/>
      <c r="C14" s="5"/>
    </row>
    <row r="15" ht="15.75" customHeight="1">
      <c r="A15" s="18" t="s">
        <v>14</v>
      </c>
    </row>
    <row r="16" ht="15.75" customHeight="1">
      <c r="A16" s="18" t="s">
        <v>15</v>
      </c>
    </row>
    <row r="17" ht="15.75" customHeight="1">
      <c r="A17" s="18" t="s">
        <v>16</v>
      </c>
    </row>
    <row r="18" ht="15.75" customHeight="1">
      <c r="A18" s="18" t="s">
        <v>17</v>
      </c>
    </row>
    <row r="19" ht="15.75" customHeight="1">
      <c r="A19" s="18" t="s">
        <v>18</v>
      </c>
    </row>
    <row r="20" ht="15.75" customHeight="1">
      <c r="A20" s="18" t="s">
        <v>19</v>
      </c>
    </row>
    <row r="21" ht="15.75" customHeight="1">
      <c r="A21" s="18" t="s">
        <v>20</v>
      </c>
    </row>
    <row r="22" ht="15.75" customHeight="1">
      <c r="A22" s="18" t="s">
        <v>21</v>
      </c>
    </row>
    <row r="23" ht="15.75" customHeight="1">
      <c r="A23" s="18" t="s">
        <v>22</v>
      </c>
    </row>
    <row r="24" ht="15.75" customHeight="1">
      <c r="A24" s="18" t="s">
        <v>23</v>
      </c>
    </row>
    <row r="25" ht="15.75" customHeight="1">
      <c r="A25" s="18" t="s">
        <v>24</v>
      </c>
    </row>
    <row r="26" ht="15.75" customHeight="1">
      <c r="A26" s="18" t="s">
        <v>25</v>
      </c>
    </row>
    <row r="27" ht="15.75" customHeight="1">
      <c r="A27" s="18" t="s">
        <v>26</v>
      </c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mergeCells count="15">
    <mergeCell ref="A20:C20"/>
    <mergeCell ref="A21:C21"/>
    <mergeCell ref="A22:C22"/>
    <mergeCell ref="A23:C23"/>
    <mergeCell ref="A24:C24"/>
    <mergeCell ref="A25:C25"/>
    <mergeCell ref="A26:C26"/>
    <mergeCell ref="A27:C27"/>
    <mergeCell ref="A1:C1"/>
    <mergeCell ref="A2:C2"/>
    <mergeCell ref="A15:C15"/>
    <mergeCell ref="A16:C16"/>
    <mergeCell ref="A17:C17"/>
    <mergeCell ref="A18:C18"/>
    <mergeCell ref="A19:C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3" width="16.0"/>
    <col customWidth="1" min="4" max="4" width="54.0"/>
    <col customWidth="1" min="5" max="26" width="8.71"/>
  </cols>
  <sheetData>
    <row r="1" ht="30.0" customHeight="1">
      <c r="A1" s="19" t="s">
        <v>27</v>
      </c>
      <c r="B1" s="2"/>
      <c r="C1" s="2"/>
      <c r="D1" s="3"/>
    </row>
    <row r="2" ht="25.5" customHeight="1">
      <c r="A2" s="4" t="s">
        <v>28</v>
      </c>
    </row>
    <row r="3">
      <c r="A3" s="5"/>
      <c r="B3" s="5"/>
      <c r="C3" s="5"/>
      <c r="D3" s="5"/>
    </row>
    <row r="4" ht="15.0" customHeight="1">
      <c r="A4" s="6" t="s">
        <v>29</v>
      </c>
      <c r="B4" s="7" t="s">
        <v>30</v>
      </c>
      <c r="C4" s="7" t="s">
        <v>31</v>
      </c>
      <c r="D4" s="7" t="s">
        <v>32</v>
      </c>
    </row>
    <row r="5" ht="15.0" customHeight="1">
      <c r="A5" s="20" t="s">
        <v>33</v>
      </c>
      <c r="B5" s="21"/>
      <c r="C5" s="21"/>
      <c r="D5" s="21"/>
    </row>
    <row r="6" ht="15.0" customHeight="1">
      <c r="A6" s="8" t="s">
        <v>34</v>
      </c>
      <c r="B6" s="22">
        <v>180.0</v>
      </c>
      <c r="C6" s="9">
        <f t="shared" ref="C6:C9" si="1">B6*12</f>
        <v>2160</v>
      </c>
      <c r="D6" s="23" t="s">
        <v>35</v>
      </c>
    </row>
    <row r="7" ht="15.0" customHeight="1">
      <c r="A7" s="8" t="s">
        <v>36</v>
      </c>
      <c r="B7" s="22">
        <v>110.0</v>
      </c>
      <c r="C7" s="9">
        <f t="shared" si="1"/>
        <v>1320</v>
      </c>
      <c r="D7" s="23" t="s">
        <v>37</v>
      </c>
    </row>
    <row r="8" ht="15.0" customHeight="1">
      <c r="A8" s="8" t="s">
        <v>38</v>
      </c>
      <c r="B8" s="22">
        <v>45.0</v>
      </c>
      <c r="C8" s="9">
        <f t="shared" si="1"/>
        <v>540</v>
      </c>
      <c r="D8" s="23" t="s">
        <v>39</v>
      </c>
    </row>
    <row r="9" ht="15.0" customHeight="1">
      <c r="A9" s="8" t="s">
        <v>40</v>
      </c>
      <c r="B9" s="22">
        <v>80.0</v>
      </c>
      <c r="C9" s="9">
        <f t="shared" si="1"/>
        <v>960</v>
      </c>
      <c r="D9" s="23" t="s">
        <v>41</v>
      </c>
    </row>
    <row r="10" ht="23.25" customHeight="1">
      <c r="A10" s="24" t="s">
        <v>42</v>
      </c>
      <c r="B10" s="25">
        <f t="shared" ref="B10:C10" si="2">SUM(B6:B9)</f>
        <v>415</v>
      </c>
      <c r="C10" s="25">
        <f t="shared" si="2"/>
        <v>4980</v>
      </c>
      <c r="D10" s="26"/>
    </row>
    <row r="11">
      <c r="A11" s="5"/>
      <c r="B11" s="5"/>
      <c r="C11" s="5"/>
      <c r="D11" s="5"/>
    </row>
    <row r="12" ht="15.0" customHeight="1">
      <c r="A12" s="20" t="s">
        <v>43</v>
      </c>
      <c r="B12" s="21"/>
      <c r="C12" s="21"/>
      <c r="D12" s="21"/>
    </row>
    <row r="13" ht="15.0" customHeight="1">
      <c r="A13" s="8" t="s">
        <v>44</v>
      </c>
      <c r="B13" s="22">
        <v>700.0</v>
      </c>
      <c r="C13" s="9">
        <f t="shared" ref="C13:C14" si="3">B13*12</f>
        <v>8400</v>
      </c>
      <c r="D13" s="23" t="s">
        <v>45</v>
      </c>
    </row>
    <row r="14" ht="15.0" customHeight="1">
      <c r="A14" s="8" t="s">
        <v>46</v>
      </c>
      <c r="B14" s="22">
        <v>150.0</v>
      </c>
      <c r="C14" s="9">
        <f t="shared" si="3"/>
        <v>1800</v>
      </c>
      <c r="D14" s="23" t="s">
        <v>47</v>
      </c>
    </row>
    <row r="15" ht="15.0" customHeight="1">
      <c r="A15" s="24" t="s">
        <v>48</v>
      </c>
      <c r="B15" s="25">
        <f t="shared" ref="B15:C15" si="4">SUM(B13:B14)</f>
        <v>850</v>
      </c>
      <c r="C15" s="25">
        <f t="shared" si="4"/>
        <v>10200</v>
      </c>
      <c r="D15" s="26"/>
    </row>
    <row r="16">
      <c r="A16" s="5"/>
      <c r="B16" s="5"/>
      <c r="C16" s="5"/>
      <c r="D16" s="5"/>
    </row>
    <row r="17" ht="15.0" customHeight="1">
      <c r="A17" s="20" t="s">
        <v>49</v>
      </c>
      <c r="B17" s="21"/>
      <c r="C17" s="21"/>
      <c r="D17" s="21"/>
    </row>
    <row r="18" ht="15.0" customHeight="1">
      <c r="A18" s="8" t="s">
        <v>50</v>
      </c>
      <c r="B18" s="22">
        <v>250.0</v>
      </c>
      <c r="C18" s="9">
        <f t="shared" ref="C18:C23" si="5">B18*12</f>
        <v>3000</v>
      </c>
      <c r="D18" s="23"/>
    </row>
    <row r="19" ht="15.0" customHeight="1">
      <c r="A19" s="8" t="s">
        <v>51</v>
      </c>
      <c r="B19" s="22">
        <v>120.0</v>
      </c>
      <c r="C19" s="9">
        <f t="shared" si="5"/>
        <v>1440</v>
      </c>
      <c r="D19" s="23" t="s">
        <v>52</v>
      </c>
    </row>
    <row r="20" ht="15.0" customHeight="1">
      <c r="A20" s="8" t="s">
        <v>53</v>
      </c>
      <c r="B20" s="22">
        <v>70.0</v>
      </c>
      <c r="C20" s="9">
        <f t="shared" si="5"/>
        <v>840</v>
      </c>
      <c r="D20" s="23"/>
    </row>
    <row r="21" ht="15.0" customHeight="1">
      <c r="A21" s="8" t="s">
        <v>54</v>
      </c>
      <c r="B21" s="22">
        <v>150.0</v>
      </c>
      <c r="C21" s="9">
        <f t="shared" si="5"/>
        <v>1800</v>
      </c>
      <c r="D21" s="23" t="s">
        <v>55</v>
      </c>
    </row>
    <row r="22" ht="15.0" customHeight="1">
      <c r="A22" s="8" t="s">
        <v>56</v>
      </c>
      <c r="B22" s="22">
        <v>80.0</v>
      </c>
      <c r="C22" s="9">
        <f t="shared" si="5"/>
        <v>960</v>
      </c>
      <c r="D22" s="23"/>
    </row>
    <row r="23" ht="15.0" customHeight="1">
      <c r="A23" s="8" t="s">
        <v>57</v>
      </c>
      <c r="B23" s="22">
        <v>25.0</v>
      </c>
      <c r="C23" s="9">
        <f t="shared" si="5"/>
        <v>300</v>
      </c>
      <c r="D23" s="23" t="s">
        <v>58</v>
      </c>
    </row>
    <row r="24" ht="15.0" customHeight="1">
      <c r="A24" s="24" t="s">
        <v>59</v>
      </c>
      <c r="B24" s="25">
        <f t="shared" ref="B24:C24" si="6">SUM(B18:B23)</f>
        <v>695</v>
      </c>
      <c r="C24" s="25">
        <f t="shared" si="6"/>
        <v>8340</v>
      </c>
      <c r="D24" s="26"/>
    </row>
    <row r="25" ht="15.75" customHeight="1">
      <c r="A25" s="5"/>
      <c r="B25" s="5"/>
      <c r="C25" s="5"/>
      <c r="D25" s="5"/>
    </row>
    <row r="26" ht="15.0" customHeight="1">
      <c r="A26" s="20" t="s">
        <v>60</v>
      </c>
      <c r="B26" s="21"/>
      <c r="C26" s="21"/>
      <c r="D26" s="21"/>
    </row>
    <row r="27" ht="15.0" customHeight="1">
      <c r="A27" s="8" t="s">
        <v>61</v>
      </c>
      <c r="B27" s="22">
        <v>35.0</v>
      </c>
      <c r="C27" s="9">
        <f t="shared" ref="C27:C32" si="7">B27*12</f>
        <v>420</v>
      </c>
      <c r="D27" s="23" t="s">
        <v>62</v>
      </c>
    </row>
    <row r="28" ht="15.0" customHeight="1">
      <c r="A28" s="8" t="s">
        <v>63</v>
      </c>
      <c r="B28" s="22">
        <v>120.0</v>
      </c>
      <c r="C28" s="9">
        <f t="shared" si="7"/>
        <v>1440</v>
      </c>
      <c r="D28" s="23" t="s">
        <v>64</v>
      </c>
    </row>
    <row r="29" ht="15.0" customHeight="1">
      <c r="A29" s="8" t="s">
        <v>65</v>
      </c>
      <c r="B29" s="22">
        <v>50.0</v>
      </c>
      <c r="C29" s="9">
        <f t="shared" si="7"/>
        <v>600</v>
      </c>
      <c r="D29" s="23"/>
    </row>
    <row r="30" ht="15.0" customHeight="1">
      <c r="A30" s="8" t="s">
        <v>66</v>
      </c>
      <c r="B30" s="22">
        <v>80.0</v>
      </c>
      <c r="C30" s="9">
        <f t="shared" si="7"/>
        <v>960</v>
      </c>
      <c r="D30" s="23" t="s">
        <v>67</v>
      </c>
    </row>
    <row r="31" ht="15.0" customHeight="1">
      <c r="A31" s="8" t="s">
        <v>68</v>
      </c>
      <c r="B31" s="22">
        <v>30.0</v>
      </c>
      <c r="C31" s="9">
        <f t="shared" si="7"/>
        <v>360</v>
      </c>
      <c r="D31" s="23"/>
    </row>
    <row r="32" ht="15.0" customHeight="1">
      <c r="A32" s="8" t="s">
        <v>69</v>
      </c>
      <c r="B32" s="22">
        <v>15.0</v>
      </c>
      <c r="C32" s="9">
        <f t="shared" si="7"/>
        <v>180</v>
      </c>
      <c r="D32" s="23"/>
    </row>
    <row r="33" ht="15.0" customHeight="1">
      <c r="A33" s="24" t="s">
        <v>70</v>
      </c>
      <c r="B33" s="25">
        <f t="shared" ref="B33:C33" si="8">SUM(B27:B32)</f>
        <v>330</v>
      </c>
      <c r="C33" s="25">
        <f t="shared" si="8"/>
        <v>3960</v>
      </c>
      <c r="D33" s="26"/>
    </row>
    <row r="34" ht="15.75" customHeight="1">
      <c r="A34" s="5"/>
      <c r="B34" s="5"/>
      <c r="C34" s="5"/>
      <c r="D34" s="5"/>
    </row>
    <row r="35" ht="15.0" customHeight="1">
      <c r="A35" s="20" t="s">
        <v>71</v>
      </c>
      <c r="B35" s="21"/>
      <c r="C35" s="21"/>
      <c r="D35" s="21"/>
    </row>
    <row r="36" ht="15.0" customHeight="1">
      <c r="A36" s="8" t="s">
        <v>72</v>
      </c>
      <c r="B36" s="22">
        <v>0.0</v>
      </c>
      <c r="C36" s="9">
        <f t="shared" ref="C36:C38" si="9">B36*12</f>
        <v>0</v>
      </c>
      <c r="D36" s="23" t="s">
        <v>73</v>
      </c>
    </row>
    <row r="37" ht="15.0" customHeight="1">
      <c r="A37" s="8" t="s">
        <v>74</v>
      </c>
      <c r="B37" s="22">
        <v>120.0</v>
      </c>
      <c r="C37" s="9">
        <f t="shared" si="9"/>
        <v>1440</v>
      </c>
      <c r="D37" s="23" t="s">
        <v>75</v>
      </c>
    </row>
    <row r="38" ht="15.0" customHeight="1">
      <c r="A38" s="8" t="s">
        <v>76</v>
      </c>
      <c r="B38" s="22">
        <v>50.0</v>
      </c>
      <c r="C38" s="9">
        <f t="shared" si="9"/>
        <v>600</v>
      </c>
      <c r="D38" s="23" t="s">
        <v>77</v>
      </c>
    </row>
    <row r="39" ht="15.0" customHeight="1">
      <c r="A39" s="24" t="s">
        <v>78</v>
      </c>
      <c r="B39" s="25">
        <f t="shared" ref="B39:C39" si="10">SUM(B36:B38)</f>
        <v>170</v>
      </c>
      <c r="C39" s="25">
        <f t="shared" si="10"/>
        <v>2040</v>
      </c>
      <c r="D39" s="26"/>
    </row>
    <row r="40" ht="15.75" customHeight="1">
      <c r="A40" s="5"/>
      <c r="B40" s="5"/>
      <c r="C40" s="5"/>
      <c r="D40" s="5"/>
    </row>
    <row r="41" ht="15.0" customHeight="1">
      <c r="A41" s="20" t="s">
        <v>79</v>
      </c>
      <c r="B41" s="21"/>
      <c r="C41" s="21"/>
      <c r="D41" s="21"/>
    </row>
    <row r="42" ht="15.0" customHeight="1">
      <c r="A42" s="8" t="s">
        <v>80</v>
      </c>
      <c r="B42" s="22">
        <v>120.0</v>
      </c>
      <c r="C42" s="9">
        <f>B42*12</f>
        <v>1440</v>
      </c>
      <c r="D42" s="23" t="s">
        <v>81</v>
      </c>
    </row>
    <row r="43" ht="15.0" customHeight="1">
      <c r="A43" s="24" t="s">
        <v>82</v>
      </c>
      <c r="B43" s="25">
        <f t="shared" ref="B43:C43" si="11">SUM(B42)</f>
        <v>120</v>
      </c>
      <c r="C43" s="25">
        <f t="shared" si="11"/>
        <v>1440</v>
      </c>
      <c r="D43" s="26"/>
    </row>
    <row r="44" ht="15.75" customHeight="1">
      <c r="A44" s="5"/>
      <c r="B44" s="5"/>
      <c r="C44" s="5"/>
      <c r="D44" s="5"/>
    </row>
    <row r="45" ht="15.0" customHeight="1">
      <c r="A45" s="20" t="s">
        <v>83</v>
      </c>
      <c r="B45" s="21"/>
      <c r="C45" s="21"/>
      <c r="D45" s="21"/>
    </row>
    <row r="46" ht="15.0" customHeight="1">
      <c r="A46" s="8" t="s">
        <v>84</v>
      </c>
      <c r="B46" s="22">
        <v>50.0</v>
      </c>
      <c r="C46" s="9">
        <f t="shared" ref="C46:C49" si="12">B46*12</f>
        <v>600</v>
      </c>
      <c r="D46" s="23"/>
    </row>
    <row r="47" ht="15.0" customHeight="1">
      <c r="A47" s="8" t="s">
        <v>85</v>
      </c>
      <c r="B47" s="22">
        <v>35.0</v>
      </c>
      <c r="C47" s="9">
        <f t="shared" si="12"/>
        <v>420</v>
      </c>
      <c r="D47" s="23"/>
    </row>
    <row r="48" ht="15.0" customHeight="1">
      <c r="A48" s="8" t="s">
        <v>86</v>
      </c>
      <c r="B48" s="22">
        <v>14.0</v>
      </c>
      <c r="C48" s="9">
        <f t="shared" si="12"/>
        <v>168</v>
      </c>
      <c r="D48" s="23"/>
    </row>
    <row r="49" ht="15.0" customHeight="1">
      <c r="A49" s="8" t="s">
        <v>87</v>
      </c>
      <c r="B49" s="22">
        <v>4.0</v>
      </c>
      <c r="C49" s="9">
        <f t="shared" si="12"/>
        <v>48</v>
      </c>
      <c r="D49" s="23" t="s">
        <v>88</v>
      </c>
    </row>
    <row r="50" ht="15.0" customHeight="1">
      <c r="A50" s="24" t="s">
        <v>89</v>
      </c>
      <c r="B50" s="25">
        <f t="shared" ref="B50:C50" si="13">SUM(B46:B49)</f>
        <v>103</v>
      </c>
      <c r="C50" s="25">
        <f t="shared" si="13"/>
        <v>1236</v>
      </c>
      <c r="D50" s="26"/>
    </row>
    <row r="51" ht="15.75" customHeight="1">
      <c r="A51" s="5"/>
      <c r="B51" s="5"/>
      <c r="C51" s="5"/>
      <c r="D51" s="5"/>
    </row>
    <row r="52" ht="15.0" customHeight="1">
      <c r="A52" s="20" t="s">
        <v>90</v>
      </c>
      <c r="B52" s="21"/>
      <c r="C52" s="21"/>
      <c r="D52" s="21"/>
    </row>
    <row r="53" ht="15.0" customHeight="1">
      <c r="A53" s="8" t="s">
        <v>91</v>
      </c>
      <c r="B53" s="22">
        <v>260.0</v>
      </c>
      <c r="C53" s="9">
        <f t="shared" ref="C53:C56" si="14">B53*12</f>
        <v>3120</v>
      </c>
      <c r="D53" s="23" t="s">
        <v>92</v>
      </c>
    </row>
    <row r="54" ht="15.0" customHeight="1">
      <c r="A54" s="8" t="s">
        <v>93</v>
      </c>
      <c r="B54" s="22">
        <v>30.0</v>
      </c>
      <c r="C54" s="9">
        <f t="shared" si="14"/>
        <v>360</v>
      </c>
      <c r="D54" s="23" t="s">
        <v>94</v>
      </c>
    </row>
    <row r="55" ht="15.0" customHeight="1">
      <c r="A55" s="8" t="s">
        <v>95</v>
      </c>
      <c r="B55" s="22">
        <v>30.0</v>
      </c>
      <c r="C55" s="9">
        <f t="shared" si="14"/>
        <v>360</v>
      </c>
      <c r="D55" s="23" t="s">
        <v>96</v>
      </c>
    </row>
    <row r="56" ht="15.0" customHeight="1">
      <c r="A56" s="8" t="s">
        <v>97</v>
      </c>
      <c r="B56" s="22">
        <v>65.0</v>
      </c>
      <c r="C56" s="9">
        <f t="shared" si="14"/>
        <v>780</v>
      </c>
      <c r="D56" s="23" t="s">
        <v>98</v>
      </c>
    </row>
    <row r="57" ht="15.0" customHeight="1">
      <c r="A57" s="24" t="s">
        <v>99</v>
      </c>
      <c r="B57" s="25">
        <f t="shared" ref="B57:C57" si="15">SUM(B53:B56)</f>
        <v>385</v>
      </c>
      <c r="C57" s="25">
        <f t="shared" si="15"/>
        <v>4620</v>
      </c>
      <c r="D57" s="26"/>
    </row>
    <row r="58" ht="15.75" customHeight="1">
      <c r="A58" s="5"/>
      <c r="B58" s="5"/>
      <c r="C58" s="5"/>
      <c r="D58" s="5"/>
    </row>
    <row r="59" ht="15.0" customHeight="1">
      <c r="A59" s="20" t="s">
        <v>100</v>
      </c>
      <c r="B59" s="21"/>
      <c r="C59" s="21"/>
      <c r="D59" s="21"/>
    </row>
    <row r="60" ht="15.0" customHeight="1">
      <c r="A60" s="8" t="s">
        <v>101</v>
      </c>
      <c r="B60" s="22">
        <v>40.0</v>
      </c>
      <c r="C60" s="9">
        <f t="shared" ref="C60:C61" si="16">B60*12</f>
        <v>480</v>
      </c>
      <c r="D60" s="23" t="s">
        <v>102</v>
      </c>
    </row>
    <row r="61" ht="15.0" customHeight="1">
      <c r="A61" s="8" t="s">
        <v>103</v>
      </c>
      <c r="B61" s="22">
        <v>25.0</v>
      </c>
      <c r="C61" s="9">
        <f t="shared" si="16"/>
        <v>300</v>
      </c>
      <c r="D61" s="23" t="s">
        <v>58</v>
      </c>
    </row>
    <row r="62" ht="15.0" customHeight="1">
      <c r="A62" s="24" t="s">
        <v>104</v>
      </c>
      <c r="B62" s="25">
        <f t="shared" ref="B62:C62" si="17">SUM(B60:B61)</f>
        <v>65</v>
      </c>
      <c r="C62" s="25">
        <f t="shared" si="17"/>
        <v>780</v>
      </c>
      <c r="D62" s="26"/>
    </row>
    <row r="63" ht="15.75" customHeight="1">
      <c r="A63" s="5"/>
      <c r="B63" s="5"/>
      <c r="C63" s="5"/>
      <c r="D63" s="5"/>
    </row>
    <row r="64" ht="15.0" customHeight="1">
      <c r="A64" s="20" t="s">
        <v>105</v>
      </c>
      <c r="B64" s="21"/>
      <c r="C64" s="21"/>
      <c r="D64" s="21"/>
    </row>
    <row r="65" ht="15.0" customHeight="1">
      <c r="A65" s="8" t="s">
        <v>106</v>
      </c>
      <c r="B65" s="22">
        <v>45.0</v>
      </c>
      <c r="C65" s="9">
        <f t="shared" ref="C65:C68" si="18">B65*12</f>
        <v>540</v>
      </c>
      <c r="D65" s="23" t="s">
        <v>107</v>
      </c>
    </row>
    <row r="66" ht="15.0" customHeight="1">
      <c r="A66" s="8" t="s">
        <v>108</v>
      </c>
      <c r="B66" s="22">
        <v>40.0</v>
      </c>
      <c r="C66" s="9">
        <f t="shared" si="18"/>
        <v>480</v>
      </c>
      <c r="D66" s="23" t="s">
        <v>109</v>
      </c>
    </row>
    <row r="67" ht="15.0" customHeight="1">
      <c r="A67" s="8" t="s">
        <v>110</v>
      </c>
      <c r="B67" s="22">
        <v>4.0</v>
      </c>
      <c r="C67" s="9">
        <f t="shared" si="18"/>
        <v>48</v>
      </c>
      <c r="D67" s="23" t="s">
        <v>111</v>
      </c>
    </row>
    <row r="68" ht="15.0" customHeight="1">
      <c r="A68" s="8" t="s">
        <v>112</v>
      </c>
      <c r="B68" s="22">
        <v>50.0</v>
      </c>
      <c r="C68" s="9">
        <f t="shared" si="18"/>
        <v>600</v>
      </c>
      <c r="D68" s="23" t="s">
        <v>113</v>
      </c>
    </row>
    <row r="69" ht="23.25" customHeight="1">
      <c r="A69" s="24" t="s">
        <v>114</v>
      </c>
      <c r="B69" s="25">
        <f t="shared" ref="B69:C69" si="19">SUM(B65:B68)</f>
        <v>139</v>
      </c>
      <c r="C69" s="25">
        <f t="shared" si="19"/>
        <v>1668</v>
      </c>
      <c r="D69" s="26"/>
    </row>
    <row r="70" ht="15.75" customHeight="1">
      <c r="A70" s="5"/>
      <c r="B70" s="5"/>
      <c r="C70" s="5"/>
      <c r="D70" s="5"/>
    </row>
    <row r="71" ht="15.0" customHeight="1">
      <c r="A71" s="20" t="s">
        <v>115</v>
      </c>
      <c r="B71" s="21"/>
      <c r="C71" s="21"/>
      <c r="D71" s="21"/>
    </row>
    <row r="72" ht="15.0" customHeight="1">
      <c r="A72" s="8" t="s">
        <v>116</v>
      </c>
      <c r="B72" s="22">
        <v>333.33</v>
      </c>
      <c r="C72" s="9">
        <f t="shared" ref="C72:C73" si="20">B72*12</f>
        <v>3999.96</v>
      </c>
      <c r="D72" s="23" t="s">
        <v>117</v>
      </c>
    </row>
    <row r="73" ht="23.25" customHeight="1">
      <c r="A73" s="8" t="s">
        <v>118</v>
      </c>
      <c r="B73" s="9">
        <f>B72</f>
        <v>333.33</v>
      </c>
      <c r="C73" s="9">
        <f t="shared" si="20"/>
        <v>3999.96</v>
      </c>
      <c r="D73" s="23" t="s">
        <v>119</v>
      </c>
    </row>
    <row r="74" ht="15.0" customHeight="1">
      <c r="A74" s="24" t="s">
        <v>120</v>
      </c>
      <c r="B74" s="25">
        <f t="shared" ref="B74:C74" si="21">SUM(B72:B73)</f>
        <v>666.66</v>
      </c>
      <c r="C74" s="25">
        <f t="shared" si="21"/>
        <v>7999.92</v>
      </c>
      <c r="D74" s="26"/>
    </row>
    <row r="75" ht="15.75" customHeight="1">
      <c r="A75" s="5"/>
      <c r="B75" s="5"/>
      <c r="C75" s="5"/>
      <c r="D75" s="5"/>
    </row>
    <row r="76" ht="23.25" customHeight="1">
      <c r="A76" s="20" t="s">
        <v>121</v>
      </c>
      <c r="B76" s="21"/>
      <c r="C76" s="21"/>
      <c r="D76" s="21"/>
    </row>
    <row r="77" ht="23.25" customHeight="1">
      <c r="A77" s="8" t="s">
        <v>122</v>
      </c>
      <c r="B77" s="27">
        <f>'Replacement Reserves'!F7</f>
        <v>363.1102694</v>
      </c>
      <c r="C77" s="9">
        <f>B77*12</f>
        <v>4357.323232</v>
      </c>
      <c r="D77" s="23" t="s">
        <v>123</v>
      </c>
    </row>
    <row r="78" ht="23.25" customHeight="1">
      <c r="A78" s="24" t="s">
        <v>124</v>
      </c>
      <c r="B78" s="25">
        <f t="shared" ref="B78:C78" si="22">SUM(B77)</f>
        <v>363.1102694</v>
      </c>
      <c r="C78" s="25">
        <f t="shared" si="22"/>
        <v>4357.323232</v>
      </c>
      <c r="D78" s="26"/>
    </row>
    <row r="79" ht="15.75" customHeight="1">
      <c r="A79" s="5"/>
      <c r="B79" s="5"/>
      <c r="C79" s="5"/>
      <c r="D79" s="5"/>
    </row>
    <row r="80" ht="15.0" customHeight="1">
      <c r="A80" s="20" t="s">
        <v>125</v>
      </c>
      <c r="B80" s="21"/>
      <c r="C80" s="21"/>
      <c r="D80" s="21"/>
    </row>
    <row r="81" ht="15.0" customHeight="1">
      <c r="A81" s="8" t="s">
        <v>126</v>
      </c>
      <c r="B81" s="22">
        <v>40.0</v>
      </c>
      <c r="C81" s="9">
        <f t="shared" ref="C81:C82" si="23">B81*12</f>
        <v>480</v>
      </c>
      <c r="D81" s="23" t="s">
        <v>127</v>
      </c>
    </row>
    <row r="82" ht="15.0" customHeight="1">
      <c r="A82" s="8" t="s">
        <v>128</v>
      </c>
      <c r="B82" s="22">
        <v>150.0</v>
      </c>
      <c r="C82" s="9">
        <f t="shared" si="23"/>
        <v>1800</v>
      </c>
      <c r="D82" s="23" t="s">
        <v>129</v>
      </c>
    </row>
    <row r="83" ht="15.0" customHeight="1">
      <c r="A83" s="24" t="s">
        <v>130</v>
      </c>
      <c r="B83" s="25">
        <f t="shared" ref="B83:C83" si="24">SUM(B81:B82)</f>
        <v>190</v>
      </c>
      <c r="C83" s="25">
        <f t="shared" si="24"/>
        <v>2280</v>
      </c>
      <c r="D83" s="26"/>
    </row>
    <row r="84" ht="15.75" customHeight="1">
      <c r="A84" s="5"/>
      <c r="B84" s="5"/>
      <c r="C84" s="5"/>
      <c r="D84" s="5"/>
    </row>
    <row r="85" ht="21.75" customHeight="1">
      <c r="A85" s="28" t="s">
        <v>131</v>
      </c>
      <c r="B85" s="29">
        <f t="shared" ref="B85:C85" si="25">B10+B15+B24+B33+B39+B43+B50+B57+B62+B69+B74+B78+B83</f>
        <v>4491.770269</v>
      </c>
      <c r="C85" s="29">
        <f t="shared" si="25"/>
        <v>53901.24323</v>
      </c>
      <c r="D85" s="30" t="s">
        <v>132</v>
      </c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3" width="18.0"/>
    <col customWidth="1" min="4" max="4" width="48.0"/>
    <col customWidth="1" min="5" max="26" width="8.71"/>
  </cols>
  <sheetData>
    <row r="1" ht="27.75" customHeight="1">
      <c r="A1" s="19" t="s">
        <v>133</v>
      </c>
      <c r="B1" s="2"/>
      <c r="C1" s="2"/>
      <c r="D1" s="3"/>
    </row>
    <row r="2">
      <c r="A2" s="5"/>
      <c r="B2" s="5"/>
      <c r="C2" s="5"/>
      <c r="D2" s="5"/>
    </row>
    <row r="3" ht="23.25" customHeight="1">
      <c r="A3" s="31" t="s">
        <v>134</v>
      </c>
      <c r="B3" s="32">
        <v>1.14</v>
      </c>
      <c r="C3" s="4" t="s">
        <v>135</v>
      </c>
      <c r="D3" s="5"/>
    </row>
    <row r="4">
      <c r="A4" s="5"/>
      <c r="B4" s="5"/>
      <c r="C4" s="5"/>
      <c r="D4" s="5"/>
    </row>
    <row r="5" ht="15.0" customHeight="1">
      <c r="A5" s="6" t="s">
        <v>136</v>
      </c>
      <c r="B5" s="7" t="s">
        <v>137</v>
      </c>
      <c r="C5" s="7" t="s">
        <v>138</v>
      </c>
      <c r="D5" s="7" t="s">
        <v>139</v>
      </c>
    </row>
    <row r="6" ht="32.25" customHeight="1">
      <c r="A6" s="8" t="s">
        <v>140</v>
      </c>
      <c r="B6" s="22">
        <v>250000.0</v>
      </c>
      <c r="C6" s="10">
        <f>B6*'One-Time &amp; Capital'!$B$3</f>
        <v>285000</v>
      </c>
      <c r="D6" s="23" t="s">
        <v>141</v>
      </c>
    </row>
    <row r="7" ht="15.0" customHeight="1">
      <c r="A7" s="8" t="s">
        <v>142</v>
      </c>
      <c r="B7" s="9">
        <f>B6*0.08</f>
        <v>20000</v>
      </c>
      <c r="C7" s="10">
        <f>B7*'One-Time &amp; Capital'!$B$3</f>
        <v>22800</v>
      </c>
      <c r="D7" s="23" t="s">
        <v>143</v>
      </c>
    </row>
    <row r="8" ht="15.0" customHeight="1">
      <c r="A8" s="8" t="s">
        <v>144</v>
      </c>
      <c r="B8" s="22">
        <v>22000.0</v>
      </c>
      <c r="C8" s="10">
        <f>B8*'One-Time &amp; Capital'!$B$3</f>
        <v>25080</v>
      </c>
      <c r="D8" s="23" t="s">
        <v>145</v>
      </c>
    </row>
    <row r="9" ht="21.75" customHeight="1">
      <c r="A9" s="8" t="s">
        <v>146</v>
      </c>
      <c r="B9" s="22">
        <v>33000.0</v>
      </c>
      <c r="C9" s="10">
        <f>B9*'One-Time &amp; Capital'!$B$3</f>
        <v>37620</v>
      </c>
      <c r="D9" s="23" t="s">
        <v>147</v>
      </c>
    </row>
    <row r="10" ht="15.0" customHeight="1">
      <c r="A10" s="8" t="s">
        <v>148</v>
      </c>
      <c r="B10" s="22">
        <v>1000.0</v>
      </c>
      <c r="C10" s="10">
        <f>B10*'One-Time &amp; Capital'!$B$3</f>
        <v>1140</v>
      </c>
      <c r="D10" s="23" t="s">
        <v>149</v>
      </c>
    </row>
    <row r="11" ht="21.75" customHeight="1">
      <c r="A11" s="8" t="s">
        <v>150</v>
      </c>
      <c r="B11" s="22">
        <v>2500.0</v>
      </c>
      <c r="C11" s="10">
        <f>B11*'One-Time &amp; Capital'!$B$3</f>
        <v>2850</v>
      </c>
      <c r="D11" s="23" t="s">
        <v>151</v>
      </c>
    </row>
    <row r="12" ht="15.0" customHeight="1">
      <c r="A12" s="24" t="s">
        <v>152</v>
      </c>
      <c r="B12" s="25">
        <f>SUM(B6:B11)</f>
        <v>328500</v>
      </c>
      <c r="C12" s="33">
        <f>B12*'One-Time &amp; Capital'!$B$3</f>
        <v>374490</v>
      </c>
      <c r="D12" s="26"/>
    </row>
    <row r="13" ht="15.0" customHeight="1">
      <c r="A13" s="8" t="s">
        <v>153</v>
      </c>
      <c r="B13" s="27">
        <f>'Recurring Costs'!B85*6</f>
        <v>26950.62162</v>
      </c>
      <c r="C13" s="10">
        <f>B13*'One-Time &amp; Capital'!$B$3</f>
        <v>30723.70864</v>
      </c>
      <c r="D13" s="23" t="s">
        <v>154</v>
      </c>
    </row>
    <row r="14">
      <c r="A14" s="5"/>
      <c r="B14" s="5"/>
      <c r="C14" s="5"/>
      <c r="D14" s="5"/>
    </row>
    <row r="15" ht="21.75" customHeight="1">
      <c r="A15" s="28" t="s">
        <v>155</v>
      </c>
      <c r="B15" s="29">
        <f>B12+B13</f>
        <v>355450.6216</v>
      </c>
      <c r="C15" s="34">
        <f>B15*'One-Time &amp; Capital'!$B$3</f>
        <v>405213.7086</v>
      </c>
      <c r="D15" s="3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 ht="15.0" customHeight="1">
      <c r="A18" s="36" t="s">
        <v>156</v>
      </c>
      <c r="B18" s="2"/>
      <c r="C18" s="2"/>
      <c r="D18" s="3"/>
    </row>
    <row r="19" ht="15.0" customHeight="1">
      <c r="A19" s="31" t="s">
        <v>157</v>
      </c>
      <c r="B19" s="37">
        <v>0.04</v>
      </c>
      <c r="C19" s="5"/>
      <c r="D19" s="5"/>
    </row>
    <row r="20" ht="21.75" customHeight="1">
      <c r="A20" s="38" t="s">
        <v>158</v>
      </c>
      <c r="B20" s="9">
        <f>'Recurring Costs'!C85-('Recurring Costs'!C33+'Recurring Costs'!C39)</f>
        <v>47901.24323</v>
      </c>
      <c r="C20" s="10">
        <f>B20*'One-Time &amp; Capital'!$B$3</f>
        <v>54607.41728</v>
      </c>
      <c r="D20" s="39" t="s">
        <v>159</v>
      </c>
    </row>
    <row r="21" ht="15.0" customHeight="1">
      <c r="A21" s="38" t="s">
        <v>160</v>
      </c>
      <c r="B21" s="9">
        <f>B20/B19</f>
        <v>1197531.081</v>
      </c>
      <c r="C21" s="10">
        <f>B21*'One-Time &amp; Capital'!$B$3</f>
        <v>1365185.432</v>
      </c>
      <c r="D21" s="39" t="s">
        <v>161</v>
      </c>
    </row>
    <row r="22" ht="15.0" customHeight="1">
      <c r="A22" s="38" t="s">
        <v>162</v>
      </c>
      <c r="B22" s="27">
        <f>'Children (through 18)'!D7</f>
        <v>117000</v>
      </c>
      <c r="C22" s="10">
        <f>B22*'One-Time &amp; Capital'!$B$3</f>
        <v>133380</v>
      </c>
      <c r="D22" s="39" t="s">
        <v>163</v>
      </c>
    </row>
    <row r="23" ht="21.75" customHeight="1">
      <c r="A23" s="28" t="s">
        <v>164</v>
      </c>
      <c r="B23" s="29">
        <f>B12+B21+B22</f>
        <v>1643031.081</v>
      </c>
      <c r="C23" s="34">
        <f>B23*'One-Time &amp; Capital'!$B$3</f>
        <v>1873055.432</v>
      </c>
      <c r="D23" s="30" t="s">
        <v>165</v>
      </c>
    </row>
    <row r="24" ht="15.75" customHeight="1">
      <c r="A24" s="5"/>
      <c r="B24" s="5"/>
      <c r="C24" s="5"/>
      <c r="D24" s="5"/>
    </row>
    <row r="25" ht="15.0" customHeight="1">
      <c r="A25" s="36" t="s">
        <v>166</v>
      </c>
      <c r="B25" s="2"/>
      <c r="C25" s="2"/>
      <c r="D25" s="3"/>
    </row>
    <row r="26" ht="15.0" customHeight="1">
      <c r="A26" s="31" t="s">
        <v>167</v>
      </c>
      <c r="B26" s="37">
        <v>0.12</v>
      </c>
      <c r="C26" s="5"/>
      <c r="D26" s="5"/>
    </row>
    <row r="27" ht="15.0" customHeight="1">
      <c r="A27" s="38" t="s">
        <v>168</v>
      </c>
      <c r="B27" s="9">
        <f>B20/(1-B26)</f>
        <v>54433.23095</v>
      </c>
      <c r="C27" s="10">
        <f>B27*'One-Time &amp; Capital'!$B$3</f>
        <v>62053.88328</v>
      </c>
      <c r="D27" s="39" t="s">
        <v>169</v>
      </c>
    </row>
    <row r="28" ht="15.0" customHeight="1">
      <c r="A28" s="38" t="s">
        <v>170</v>
      </c>
      <c r="B28" s="9">
        <f>B27/B19</f>
        <v>1360830.774</v>
      </c>
      <c r="C28" s="10">
        <f>B28*'One-Time &amp; Capital'!$B$3</f>
        <v>1551347.082</v>
      </c>
      <c r="D28" s="39" t="s">
        <v>171</v>
      </c>
    </row>
    <row r="29" ht="21.75" customHeight="1">
      <c r="A29" s="28" t="s">
        <v>172</v>
      </c>
      <c r="B29" s="29">
        <f>B12+B28+B22</f>
        <v>1806330.774</v>
      </c>
      <c r="C29" s="34">
        <f>B29*'One-Time &amp; Capital'!$B$3</f>
        <v>2059217.082</v>
      </c>
      <c r="D29" s="30" t="s">
        <v>173</v>
      </c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3">
    <mergeCell ref="A1:D1"/>
    <mergeCell ref="A18:D18"/>
    <mergeCell ref="A25:D2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2.0"/>
    <col customWidth="1" min="3" max="4" width="18.0"/>
    <col customWidth="1" min="5" max="5" width="46.0"/>
    <col customWidth="1" min="6" max="26" width="8.71"/>
  </cols>
  <sheetData>
    <row r="1" ht="25.5" customHeight="1">
      <c r="A1" s="19" t="s">
        <v>174</v>
      </c>
      <c r="B1" s="2"/>
      <c r="C1" s="2"/>
      <c r="D1" s="2"/>
      <c r="E1" s="3"/>
    </row>
    <row r="2" ht="27.75" customHeight="1">
      <c r="A2" s="4" t="s">
        <v>175</v>
      </c>
    </row>
    <row r="3" ht="15.0" customHeight="1">
      <c r="A3" s="7" t="s">
        <v>176</v>
      </c>
      <c r="B3" s="7" t="s">
        <v>177</v>
      </c>
      <c r="C3" s="7" t="s">
        <v>178</v>
      </c>
      <c r="D3" s="7" t="s">
        <v>179</v>
      </c>
      <c r="E3" s="7" t="s">
        <v>139</v>
      </c>
    </row>
    <row r="4" ht="15.0" customHeight="1">
      <c r="A4" s="8" t="s">
        <v>180</v>
      </c>
      <c r="B4" s="40">
        <v>13.0</v>
      </c>
      <c r="C4" s="22">
        <v>3960.0</v>
      </c>
      <c r="D4" s="9">
        <f t="shared" ref="D4:D6" si="1">B4*C4</f>
        <v>51480</v>
      </c>
      <c r="E4" s="23" t="s">
        <v>181</v>
      </c>
    </row>
    <row r="5" ht="15.0" customHeight="1">
      <c r="A5" s="8" t="s">
        <v>182</v>
      </c>
      <c r="B5" s="40">
        <v>3.0</v>
      </c>
      <c r="C5" s="22">
        <v>2040.0</v>
      </c>
      <c r="D5" s="9">
        <f t="shared" si="1"/>
        <v>6120</v>
      </c>
      <c r="E5" s="23" t="s">
        <v>183</v>
      </c>
    </row>
    <row r="6" ht="15.0" customHeight="1">
      <c r="A6" s="8" t="s">
        <v>184</v>
      </c>
      <c r="B6" s="40">
        <v>15.0</v>
      </c>
      <c r="C6" s="22">
        <v>3960.0</v>
      </c>
      <c r="D6" s="9">
        <f t="shared" si="1"/>
        <v>59400</v>
      </c>
      <c r="E6" s="23" t="s">
        <v>185</v>
      </c>
    </row>
    <row r="7" ht="19.5" customHeight="1">
      <c r="A7" s="41" t="s">
        <v>186</v>
      </c>
      <c r="B7" s="35"/>
      <c r="C7" s="35"/>
      <c r="D7" s="42">
        <f>SUM(D4:D6)</f>
        <v>117000</v>
      </c>
      <c r="E7" s="30" t="s">
        <v>187</v>
      </c>
    </row>
    <row r="8">
      <c r="A8" s="5"/>
      <c r="B8" s="5"/>
      <c r="C8" s="5"/>
      <c r="D8" s="5"/>
      <c r="E8" s="5"/>
    </row>
    <row r="9" ht="15.0" customHeight="1">
      <c r="A9" s="39" t="s">
        <v>188</v>
      </c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mergeCells count="3">
    <mergeCell ref="A1:E1"/>
    <mergeCell ref="A2:E2"/>
    <mergeCell ref="A9:E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18.0"/>
    <col customWidth="1" min="3" max="3" width="16.0"/>
    <col customWidth="1" min="4" max="4" width="13.0"/>
    <col customWidth="1" min="5" max="5" width="17.0"/>
    <col customWidth="1" min="6" max="6" width="13.0"/>
    <col customWidth="1" min="7" max="7" width="40.0"/>
    <col customWidth="1" min="8" max="26" width="8.71"/>
  </cols>
  <sheetData>
    <row r="1" ht="25.5" customHeight="1">
      <c r="A1" s="19" t="s">
        <v>189</v>
      </c>
      <c r="B1" s="2"/>
      <c r="C1" s="2"/>
      <c r="D1" s="2"/>
      <c r="E1" s="2"/>
      <c r="F1" s="2"/>
      <c r="G1" s="3"/>
    </row>
    <row r="2" ht="25.5" customHeight="1">
      <c r="A2" s="4" t="s">
        <v>190</v>
      </c>
    </row>
    <row r="3" ht="23.25" customHeight="1">
      <c r="A3" s="7" t="s">
        <v>136</v>
      </c>
      <c r="B3" s="7" t="s">
        <v>191</v>
      </c>
      <c r="C3" s="7" t="s">
        <v>192</v>
      </c>
      <c r="D3" s="7" t="s">
        <v>193</v>
      </c>
      <c r="E3" s="7" t="s">
        <v>194</v>
      </c>
      <c r="F3" s="7" t="s">
        <v>30</v>
      </c>
      <c r="G3" s="7" t="s">
        <v>139</v>
      </c>
    </row>
    <row r="4" ht="21.75" customHeight="1">
      <c r="A4" s="8" t="s">
        <v>195</v>
      </c>
      <c r="B4" s="27">
        <f>'One-Time &amp; Capital'!B9</f>
        <v>33000</v>
      </c>
      <c r="C4" s="22">
        <v>8000.0</v>
      </c>
      <c r="D4" s="40">
        <v>8.0</v>
      </c>
      <c r="E4" s="9">
        <f t="shared" ref="E4:E6" si="1">(B4-C4)/D4</f>
        <v>3125</v>
      </c>
      <c r="F4" s="9">
        <f t="shared" ref="F4:F6" si="2">E4/12</f>
        <v>260.4166667</v>
      </c>
      <c r="G4" s="23" t="s">
        <v>196</v>
      </c>
    </row>
    <row r="5" ht="23.25" customHeight="1">
      <c r="A5" s="8" t="s">
        <v>197</v>
      </c>
      <c r="B5" s="22">
        <v>5000.0</v>
      </c>
      <c r="C5" s="22">
        <v>0.0</v>
      </c>
      <c r="D5" s="40">
        <v>11.0</v>
      </c>
      <c r="E5" s="9">
        <f t="shared" si="1"/>
        <v>454.5454545</v>
      </c>
      <c r="F5" s="9">
        <f t="shared" si="2"/>
        <v>37.87878788</v>
      </c>
      <c r="G5" s="23" t="s">
        <v>198</v>
      </c>
    </row>
    <row r="6" ht="15.0" customHeight="1">
      <c r="A6" s="8" t="s">
        <v>199</v>
      </c>
      <c r="B6" s="22">
        <v>14000.0</v>
      </c>
      <c r="C6" s="22">
        <v>0.0</v>
      </c>
      <c r="D6" s="40">
        <v>18.0</v>
      </c>
      <c r="E6" s="9">
        <f t="shared" si="1"/>
        <v>777.7777778</v>
      </c>
      <c r="F6" s="9">
        <f t="shared" si="2"/>
        <v>64.81481481</v>
      </c>
      <c r="G6" s="23" t="s">
        <v>200</v>
      </c>
    </row>
    <row r="7" ht="19.5" customHeight="1">
      <c r="A7" s="41" t="s">
        <v>201</v>
      </c>
      <c r="B7" s="35"/>
      <c r="C7" s="35"/>
      <c r="D7" s="35"/>
      <c r="E7" s="42">
        <f t="shared" ref="E7:F7" si="3">SUM(E4:E6)</f>
        <v>4357.323232</v>
      </c>
      <c r="F7" s="42">
        <f t="shared" si="3"/>
        <v>363.1102694</v>
      </c>
      <c r="G7" s="30" t="s">
        <v>202</v>
      </c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2.0"/>
    <col customWidth="1" min="2" max="26" width="8.71"/>
  </cols>
  <sheetData>
    <row r="1" ht="25.5" customHeight="1">
      <c r="A1" s="43" t="s">
        <v>203</v>
      </c>
    </row>
    <row r="2" ht="15.0" customHeight="1">
      <c r="A2" s="18"/>
    </row>
    <row r="3" ht="15.0" customHeight="1">
      <c r="A3" s="44" t="s">
        <v>204</v>
      </c>
    </row>
    <row r="4" ht="15.0" customHeight="1">
      <c r="A4" s="18" t="s">
        <v>205</v>
      </c>
    </row>
    <row r="5" ht="15.0" customHeight="1">
      <c r="A5" s="18" t="s">
        <v>206</v>
      </c>
    </row>
    <row r="6" ht="15.0" customHeight="1">
      <c r="A6" s="18" t="s">
        <v>207</v>
      </c>
    </row>
    <row r="7" ht="15.0" customHeight="1">
      <c r="A7" s="18"/>
    </row>
    <row r="8" ht="15.0" customHeight="1">
      <c r="A8" s="44" t="s">
        <v>208</v>
      </c>
    </row>
    <row r="9" ht="15.0" customHeight="1">
      <c r="A9" s="18" t="s">
        <v>209</v>
      </c>
    </row>
    <row r="10" ht="15.0" customHeight="1">
      <c r="A10" s="18" t="s">
        <v>210</v>
      </c>
    </row>
    <row r="11" ht="15.0" customHeight="1">
      <c r="A11" s="18"/>
    </row>
    <row r="12" ht="15.0" customHeight="1">
      <c r="A12" s="44" t="s">
        <v>211</v>
      </c>
    </row>
    <row r="13" ht="15.0" customHeight="1">
      <c r="A13" s="18" t="s">
        <v>212</v>
      </c>
    </row>
    <row r="14" ht="15.0" customHeight="1">
      <c r="A14" s="18" t="s">
        <v>213</v>
      </c>
    </row>
    <row r="15" ht="15.0" customHeight="1">
      <c r="A15" s="18" t="s">
        <v>214</v>
      </c>
    </row>
    <row r="16" ht="15.0" customHeight="1">
      <c r="A16" s="18"/>
    </row>
    <row r="17" ht="23.25" customHeight="1">
      <c r="A17" s="44" t="s">
        <v>215</v>
      </c>
    </row>
    <row r="18" ht="15.0" customHeight="1">
      <c r="A18" s="18" t="s">
        <v>216</v>
      </c>
    </row>
    <row r="19" ht="15.0" customHeight="1">
      <c r="A19" s="18" t="s">
        <v>217</v>
      </c>
    </row>
    <row r="20" ht="15.0" customHeight="1">
      <c r="A20" s="18"/>
    </row>
    <row r="21" ht="15.0" customHeight="1">
      <c r="A21" s="18" t="s">
        <v>218</v>
      </c>
    </row>
    <row r="22" ht="15.0" customHeight="1">
      <c r="A22" s="18" t="s">
        <v>219</v>
      </c>
    </row>
    <row r="23" ht="15.0" customHeight="1">
      <c r="A23" s="18" t="s">
        <v>220</v>
      </c>
    </row>
    <row r="24" ht="15.0" customHeight="1">
      <c r="A24" s="18" t="s">
        <v>221</v>
      </c>
    </row>
    <row r="25" ht="15.0" customHeight="1">
      <c r="A25" s="18"/>
    </row>
    <row r="26" ht="15.0" customHeight="1">
      <c r="A26" s="44" t="s">
        <v>222</v>
      </c>
    </row>
    <row r="27" ht="15.0" customHeight="1">
      <c r="A27" s="18" t="s">
        <v>223</v>
      </c>
    </row>
    <row r="28" ht="15.0" customHeight="1">
      <c r="A28" s="18" t="s">
        <v>224</v>
      </c>
    </row>
    <row r="29" ht="15.0" customHeight="1">
      <c r="A29" s="18" t="s">
        <v>225</v>
      </c>
    </row>
    <row r="30" ht="15.0" customHeight="1">
      <c r="A30" s="18"/>
    </row>
    <row r="31" ht="15.0" customHeight="1">
      <c r="A31" s="44" t="s">
        <v>226</v>
      </c>
    </row>
    <row r="32" ht="15.0" customHeight="1">
      <c r="A32" s="18"/>
    </row>
    <row r="33" ht="15.0" customHeight="1">
      <c r="A33" s="44" t="s">
        <v>227</v>
      </c>
    </row>
    <row r="34" ht="15.0" customHeight="1">
      <c r="A34" s="18" t="s">
        <v>228</v>
      </c>
    </row>
    <row r="35" ht="15.0" customHeight="1">
      <c r="A35" s="18" t="s">
        <v>229</v>
      </c>
    </row>
    <row r="36" ht="15.0" customHeight="1">
      <c r="A36" s="18" t="s">
        <v>230</v>
      </c>
    </row>
    <row r="37" ht="15.0" customHeight="1">
      <c r="A37" s="18"/>
    </row>
    <row r="38" ht="15.0" customHeight="1">
      <c r="A38" s="18" t="s">
        <v>231</v>
      </c>
    </row>
    <row r="39" ht="15.0" customHeight="1">
      <c r="A39" s="18" t="s">
        <v>232</v>
      </c>
    </row>
    <row r="40" ht="15.0" customHeight="1">
      <c r="A40" s="18" t="s">
        <v>233</v>
      </c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1.0" footer="0.0" header="0.0" left="0.75" right="0.75" top="1.0"/>
  <pageSetup paperSize="9" orientation="portrait"/>
  <drawing r:id="rId1"/>
</worksheet>
</file>